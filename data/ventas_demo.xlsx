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4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8" customWidth="1" min="4" max="4"/>
    <col width="16" customWidth="1" min="5" max="5"/>
    <col width="14" customWidth="1" min="6" max="6"/>
    <col width="12" customWidth="1" min="7" max="7"/>
    <col width="14" customWidth="1" min="8" max="8"/>
  </cols>
  <sheetData>
    <row r="1" ht="30" customHeight="1">
      <c r="A1" s="1" t="inlineStr">
        <is>
          <t>Ferretería Don José — Registro de Ventas Mensuales 2024</t>
        </is>
      </c>
    </row>
    <row r="2" ht="16" customHeight="1">
      <c r="A2" s="2" t="inlineStr">
        <is>
          <t>Datos de demostración — generados automáticamente con Python</t>
        </is>
      </c>
    </row>
    <row r="4" ht="22" customHeight="1">
      <c r="A4" s="3" t="inlineStr">
        <is>
          <t>Mes</t>
        </is>
      </c>
      <c r="B4" s="3" t="inlineStr">
        <is>
          <t>Producto</t>
        </is>
      </c>
      <c r="C4" s="3" t="inlineStr">
        <is>
          <t>Categoría</t>
        </is>
      </c>
      <c r="D4" s="3" t="inlineStr">
        <is>
          <t>Unidades vendidas</t>
        </is>
      </c>
      <c r="E4" s="3" t="inlineStr">
        <is>
          <t>Precio unit. ($)</t>
        </is>
      </c>
      <c r="F4" s="3" t="inlineStr">
        <is>
          <t>Ingreso ($)</t>
        </is>
      </c>
      <c r="G4" s="3" t="inlineStr">
        <is>
          <t>Costo ($)</t>
        </is>
      </c>
      <c r="H4" s="3" t="inlineStr">
        <is>
          <t>Ganancia ($)</t>
        </is>
      </c>
    </row>
    <row r="5">
      <c r="A5" s="4" t="inlineStr">
        <is>
          <t>Enero</t>
        </is>
      </c>
      <c r="B5" s="5" t="inlineStr">
        <is>
          <t>Tornillos 6x1 (caja x100)</t>
        </is>
      </c>
      <c r="C5" s="5" t="inlineStr">
        <is>
          <t>Fijaciones</t>
        </is>
      </c>
      <c r="D5" s="4" t="n">
        <v>936</v>
      </c>
      <c r="E5" s="6" t="n">
        <v>1.2</v>
      </c>
      <c r="F5" s="6">
        <f>D5*E5</f>
        <v/>
      </c>
      <c r="G5" s="6">
        <f>D5*0.45</f>
        <v/>
      </c>
      <c r="H5" s="6">
        <f>F5-G5</f>
        <v/>
      </c>
    </row>
    <row r="6">
      <c r="A6" s="7" t="inlineStr">
        <is>
          <t>Enero</t>
        </is>
      </c>
      <c r="B6" s="8" t="inlineStr">
        <is>
          <t>Pintura látex blanca 4L</t>
        </is>
      </c>
      <c r="C6" s="8" t="inlineStr">
        <is>
          <t>Pinturas</t>
        </is>
      </c>
      <c r="D6" s="7" t="n">
        <v>236</v>
      </c>
      <c r="E6" s="9" t="n">
        <v>18.5</v>
      </c>
      <c r="F6" s="9">
        <f>D6*E6</f>
        <v/>
      </c>
      <c r="G6" s="9">
        <f>D6*9.8</f>
        <v/>
      </c>
      <c r="H6" s="9">
        <f>F6-G6</f>
        <v/>
      </c>
    </row>
    <row r="7">
      <c r="A7" s="4" t="inlineStr">
        <is>
          <t>Enero</t>
        </is>
      </c>
      <c r="B7" s="5" t="inlineStr">
        <is>
          <t>Llave combinada 13mm</t>
        </is>
      </c>
      <c r="C7" s="5" t="inlineStr">
        <is>
          <t>Herramientas</t>
        </is>
      </c>
      <c r="D7" s="4" t="n">
        <v>130</v>
      </c>
      <c r="E7" s="6" t="n">
        <v>12</v>
      </c>
      <c r="F7" s="6">
        <f>D7*E7</f>
        <v/>
      </c>
      <c r="G7" s="6">
        <f>D7*5.5</f>
        <v/>
      </c>
      <c r="H7" s="6">
        <f>F7-G7</f>
        <v/>
      </c>
    </row>
    <row r="8">
      <c r="A8" s="7" t="inlineStr">
        <is>
          <t>Enero</t>
        </is>
      </c>
      <c r="B8" s="8" t="inlineStr">
        <is>
          <t>Cinta métrica 5m</t>
        </is>
      </c>
      <c r="C8" s="8" t="inlineStr">
        <is>
          <t>Medición</t>
        </is>
      </c>
      <c r="D8" s="7" t="n">
        <v>192</v>
      </c>
      <c r="E8" s="9" t="n">
        <v>8.9</v>
      </c>
      <c r="F8" s="9">
        <f>D8*E8</f>
        <v/>
      </c>
      <c r="G8" s="9">
        <f>D8*3.2</f>
        <v/>
      </c>
      <c r="H8" s="9">
        <f>F8-G8</f>
        <v/>
      </c>
    </row>
    <row r="9">
      <c r="A9" s="4" t="inlineStr">
        <is>
          <t>Enero</t>
        </is>
      </c>
      <c r="B9" s="5" t="inlineStr">
        <is>
          <t>Taladro percutor 650W</t>
        </is>
      </c>
      <c r="C9" s="5" t="inlineStr">
        <is>
          <t>Eléctricos</t>
        </is>
      </c>
      <c r="D9" s="4" t="n">
        <v>48</v>
      </c>
      <c r="E9" s="6" t="n">
        <v>89</v>
      </c>
      <c r="F9" s="6">
        <f>D9*E9</f>
        <v/>
      </c>
      <c r="G9" s="6">
        <f>D9*52.0</f>
        <v/>
      </c>
      <c r="H9" s="6">
        <f>F9-G9</f>
        <v/>
      </c>
    </row>
    <row r="10">
      <c r="A10" s="7" t="inlineStr">
        <is>
          <t>Enero</t>
        </is>
      </c>
      <c r="B10" s="8" t="inlineStr">
        <is>
          <t>Tubo PVC 110mm x 6m</t>
        </is>
      </c>
      <c r="C10" s="8" t="inlineStr">
        <is>
          <t>Plomería</t>
        </is>
      </c>
      <c r="D10" s="7" t="n">
        <v>201</v>
      </c>
      <c r="E10" s="9" t="n">
        <v>22</v>
      </c>
      <c r="F10" s="9">
        <f>D10*E10</f>
        <v/>
      </c>
      <c r="G10" s="9">
        <f>D10*11.5</f>
        <v/>
      </c>
      <c r="H10" s="9">
        <f>F10-G10</f>
        <v/>
      </c>
    </row>
    <row r="11">
      <c r="A11" s="4" t="inlineStr">
        <is>
          <t>Enero</t>
        </is>
      </c>
      <c r="B11" s="5" t="inlineStr">
        <is>
          <t>Lija al agua grano 120</t>
        </is>
      </c>
      <c r="C11" s="5" t="inlineStr">
        <is>
          <t>Abrasivos</t>
        </is>
      </c>
      <c r="D11" s="4" t="n">
        <v>669</v>
      </c>
      <c r="E11" s="6" t="n">
        <v>1.8</v>
      </c>
      <c r="F11" s="6">
        <f>D11*E11</f>
        <v/>
      </c>
      <c r="G11" s="6">
        <f>D11*0.6</f>
        <v/>
      </c>
      <c r="H11" s="6">
        <f>F11-G11</f>
        <v/>
      </c>
    </row>
    <row r="12">
      <c r="A12" s="7" t="inlineStr">
        <is>
          <t>Enero</t>
        </is>
      </c>
      <c r="B12" s="8" t="inlineStr">
        <is>
          <t>Cerradura doble paleta</t>
        </is>
      </c>
      <c r="C12" s="8" t="inlineStr">
        <is>
          <t>Seguridad</t>
        </is>
      </c>
      <c r="D12" s="7" t="n">
        <v>78</v>
      </c>
      <c r="E12" s="9" t="n">
        <v>35</v>
      </c>
      <c r="F12" s="9">
        <f>D12*E12</f>
        <v/>
      </c>
      <c r="G12" s="9">
        <f>D12*17.0</f>
        <v/>
      </c>
      <c r="H12" s="9">
        <f>F12-G12</f>
        <v/>
      </c>
    </row>
    <row r="13">
      <c r="A13" s="4" t="inlineStr">
        <is>
          <t>Febrero</t>
        </is>
      </c>
      <c r="B13" s="5" t="inlineStr">
        <is>
          <t>Tornillos 6x1 (caja x100)</t>
        </is>
      </c>
      <c r="C13" s="5" t="inlineStr">
        <is>
          <t>Fijaciones</t>
        </is>
      </c>
      <c r="D13" s="4" t="n">
        <v>834</v>
      </c>
      <c r="E13" s="6" t="n">
        <v>1.2</v>
      </c>
      <c r="F13" s="6">
        <f>D13*E13</f>
        <v/>
      </c>
      <c r="G13" s="6">
        <f>D13*0.45</f>
        <v/>
      </c>
      <c r="H13" s="6">
        <f>F13-G13</f>
        <v/>
      </c>
    </row>
    <row r="14">
      <c r="A14" s="7" t="inlineStr">
        <is>
          <t>Febrero</t>
        </is>
      </c>
      <c r="B14" s="8" t="inlineStr">
        <is>
          <t>Pintura látex blanca 4L</t>
        </is>
      </c>
      <c r="C14" s="8" t="inlineStr">
        <is>
          <t>Pinturas</t>
        </is>
      </c>
      <c r="D14" s="7" t="n">
        <v>237</v>
      </c>
      <c r="E14" s="9" t="n">
        <v>18.5</v>
      </c>
      <c r="F14" s="9">
        <f>D14*E14</f>
        <v/>
      </c>
      <c r="G14" s="9">
        <f>D14*9.8</f>
        <v/>
      </c>
      <c r="H14" s="9">
        <f>F14-G14</f>
        <v/>
      </c>
    </row>
    <row r="15">
      <c r="A15" s="4" t="inlineStr">
        <is>
          <t>Febrero</t>
        </is>
      </c>
      <c r="B15" s="5" t="inlineStr">
        <is>
          <t>Llave combinada 13mm</t>
        </is>
      </c>
      <c r="C15" s="5" t="inlineStr">
        <is>
          <t>Herramientas</t>
        </is>
      </c>
      <c r="D15" s="4" t="n">
        <v>126</v>
      </c>
      <c r="E15" s="6" t="n">
        <v>12</v>
      </c>
      <c r="F15" s="6">
        <f>D15*E15</f>
        <v/>
      </c>
      <c r="G15" s="6">
        <f>D15*5.5</f>
        <v/>
      </c>
      <c r="H15" s="6">
        <f>F15-G15</f>
        <v/>
      </c>
    </row>
    <row r="16">
      <c r="A16" s="7" t="inlineStr">
        <is>
          <t>Febrero</t>
        </is>
      </c>
      <c r="B16" s="8" t="inlineStr">
        <is>
          <t>Cinta métrica 5m</t>
        </is>
      </c>
      <c r="C16" s="8" t="inlineStr">
        <is>
          <t>Medición</t>
        </is>
      </c>
      <c r="D16" s="7" t="n">
        <v>226</v>
      </c>
      <c r="E16" s="9" t="n">
        <v>8.9</v>
      </c>
      <c r="F16" s="9">
        <f>D16*E16</f>
        <v/>
      </c>
      <c r="G16" s="9">
        <f>D16*3.2</f>
        <v/>
      </c>
      <c r="H16" s="9">
        <f>F16-G16</f>
        <v/>
      </c>
    </row>
    <row r="17">
      <c r="A17" s="4" t="inlineStr">
        <is>
          <t>Febrero</t>
        </is>
      </c>
      <c r="B17" s="5" t="inlineStr">
        <is>
          <t>Taladro percutor 650W</t>
        </is>
      </c>
      <c r="C17" s="5" t="inlineStr">
        <is>
          <t>Eléctricos</t>
        </is>
      </c>
      <c r="D17" s="4" t="n">
        <v>32</v>
      </c>
      <c r="E17" s="6" t="n">
        <v>89</v>
      </c>
      <c r="F17" s="6">
        <f>D17*E17</f>
        <v/>
      </c>
      <c r="G17" s="6">
        <f>D17*52.0</f>
        <v/>
      </c>
      <c r="H17" s="6">
        <f>F17-G17</f>
        <v/>
      </c>
    </row>
    <row r="18">
      <c r="A18" s="7" t="inlineStr">
        <is>
          <t>Febrero</t>
        </is>
      </c>
      <c r="B18" s="8" t="inlineStr">
        <is>
          <t>Tubo PVC 110mm x 6m</t>
        </is>
      </c>
      <c r="C18" s="8" t="inlineStr">
        <is>
          <t>Plomería</t>
        </is>
      </c>
      <c r="D18" s="7" t="n">
        <v>154</v>
      </c>
      <c r="E18" s="9" t="n">
        <v>22</v>
      </c>
      <c r="F18" s="9">
        <f>D18*E18</f>
        <v/>
      </c>
      <c r="G18" s="9">
        <f>D18*11.5</f>
        <v/>
      </c>
      <c r="H18" s="9">
        <f>F18-G18</f>
        <v/>
      </c>
    </row>
    <row r="19">
      <c r="A19" s="4" t="inlineStr">
        <is>
          <t>Febrero</t>
        </is>
      </c>
      <c r="B19" s="5" t="inlineStr">
        <is>
          <t>Lija al agua grano 120</t>
        </is>
      </c>
      <c r="C19" s="5" t="inlineStr">
        <is>
          <t>Abrasivos</t>
        </is>
      </c>
      <c r="D19" s="4" t="n">
        <v>598</v>
      </c>
      <c r="E19" s="6" t="n">
        <v>1.8</v>
      </c>
      <c r="F19" s="6">
        <f>D19*E19</f>
        <v/>
      </c>
      <c r="G19" s="6">
        <f>D19*0.6</f>
        <v/>
      </c>
      <c r="H19" s="6">
        <f>F19-G19</f>
        <v/>
      </c>
    </row>
    <row r="20">
      <c r="A20" s="7" t="inlineStr">
        <is>
          <t>Febrero</t>
        </is>
      </c>
      <c r="B20" s="8" t="inlineStr">
        <is>
          <t>Cerradura doble paleta</t>
        </is>
      </c>
      <c r="C20" s="8" t="inlineStr">
        <is>
          <t>Seguridad</t>
        </is>
      </c>
      <c r="D20" s="7" t="n">
        <v>102</v>
      </c>
      <c r="E20" s="9" t="n">
        <v>35</v>
      </c>
      <c r="F20" s="9">
        <f>D20*E20</f>
        <v/>
      </c>
      <c r="G20" s="9">
        <f>D20*17.0</f>
        <v/>
      </c>
      <c r="H20" s="9">
        <f>F20-G20</f>
        <v/>
      </c>
    </row>
    <row r="21">
      <c r="A21" s="4" t="inlineStr">
        <is>
          <t>Marzo</t>
        </is>
      </c>
      <c r="B21" s="5" t="inlineStr">
        <is>
          <t>Tornillos 6x1 (caja x100)</t>
        </is>
      </c>
      <c r="C21" s="5" t="inlineStr">
        <is>
          <t>Fijaciones</t>
        </is>
      </c>
      <c r="D21" s="4" t="n">
        <v>740</v>
      </c>
      <c r="E21" s="6" t="n">
        <v>1.2</v>
      </c>
      <c r="F21" s="6">
        <f>D21*E21</f>
        <v/>
      </c>
      <c r="G21" s="6">
        <f>D21*0.45</f>
        <v/>
      </c>
      <c r="H21" s="6">
        <f>F21-G21</f>
        <v/>
      </c>
    </row>
    <row r="22">
      <c r="A22" s="7" t="inlineStr">
        <is>
          <t>Marzo</t>
        </is>
      </c>
      <c r="B22" s="8" t="inlineStr">
        <is>
          <t>Pintura látex blanca 4L</t>
        </is>
      </c>
      <c r="C22" s="8" t="inlineStr">
        <is>
          <t>Pinturas</t>
        </is>
      </c>
      <c r="D22" s="7" t="n">
        <v>332</v>
      </c>
      <c r="E22" s="9" t="n">
        <v>18.5</v>
      </c>
      <c r="F22" s="9">
        <f>D22*E22</f>
        <v/>
      </c>
      <c r="G22" s="9">
        <f>D22*9.8</f>
        <v/>
      </c>
      <c r="H22" s="9">
        <f>F22-G22</f>
        <v/>
      </c>
    </row>
    <row r="23">
      <c r="A23" s="4" t="inlineStr">
        <is>
          <t>Marzo</t>
        </is>
      </c>
      <c r="B23" s="5" t="inlineStr">
        <is>
          <t>Llave combinada 13mm</t>
        </is>
      </c>
      <c r="C23" s="5" t="inlineStr">
        <is>
          <t>Herramientas</t>
        </is>
      </c>
      <c r="D23" s="4" t="n">
        <v>173</v>
      </c>
      <c r="E23" s="6" t="n">
        <v>12</v>
      </c>
      <c r="F23" s="6">
        <f>D23*E23</f>
        <v/>
      </c>
      <c r="G23" s="6">
        <f>D23*5.5</f>
        <v/>
      </c>
      <c r="H23" s="6">
        <f>F23-G23</f>
        <v/>
      </c>
    </row>
    <row r="24">
      <c r="A24" s="7" t="inlineStr">
        <is>
          <t>Marzo</t>
        </is>
      </c>
      <c r="B24" s="8" t="inlineStr">
        <is>
          <t>Cinta métrica 5m</t>
        </is>
      </c>
      <c r="C24" s="8" t="inlineStr">
        <is>
          <t>Medición</t>
        </is>
      </c>
      <c r="D24" s="7" t="n">
        <v>165</v>
      </c>
      <c r="E24" s="9" t="n">
        <v>8.9</v>
      </c>
      <c r="F24" s="9">
        <f>D24*E24</f>
        <v/>
      </c>
      <c r="G24" s="9">
        <f>D24*3.2</f>
        <v/>
      </c>
      <c r="H24" s="9">
        <f>F24-G24</f>
        <v/>
      </c>
    </row>
    <row r="25">
      <c r="A25" s="4" t="inlineStr">
        <is>
          <t>Marzo</t>
        </is>
      </c>
      <c r="B25" s="5" t="inlineStr">
        <is>
          <t>Taladro percutor 650W</t>
        </is>
      </c>
      <c r="C25" s="5" t="inlineStr">
        <is>
          <t>Eléctricos</t>
        </is>
      </c>
      <c r="D25" s="4" t="n">
        <v>50</v>
      </c>
      <c r="E25" s="6" t="n">
        <v>89</v>
      </c>
      <c r="F25" s="6">
        <f>D25*E25</f>
        <v/>
      </c>
      <c r="G25" s="6">
        <f>D25*52.0</f>
        <v/>
      </c>
      <c r="H25" s="6">
        <f>F25-G25</f>
        <v/>
      </c>
    </row>
    <row r="26">
      <c r="A26" s="7" t="inlineStr">
        <is>
          <t>Marzo</t>
        </is>
      </c>
      <c r="B26" s="8" t="inlineStr">
        <is>
          <t>Tubo PVC 110mm x 6m</t>
        </is>
      </c>
      <c r="C26" s="8" t="inlineStr">
        <is>
          <t>Plomería</t>
        </is>
      </c>
      <c r="D26" s="7" t="n">
        <v>204</v>
      </c>
      <c r="E26" s="9" t="n">
        <v>22</v>
      </c>
      <c r="F26" s="9">
        <f>D26*E26</f>
        <v/>
      </c>
      <c r="G26" s="9">
        <f>D26*11.5</f>
        <v/>
      </c>
      <c r="H26" s="9">
        <f>F26-G26</f>
        <v/>
      </c>
    </row>
    <row r="27">
      <c r="A27" s="4" t="inlineStr">
        <is>
          <t>Marzo</t>
        </is>
      </c>
      <c r="B27" s="5" t="inlineStr">
        <is>
          <t>Lija al agua grano 120</t>
        </is>
      </c>
      <c r="C27" s="5" t="inlineStr">
        <is>
          <t>Abrasivos</t>
        </is>
      </c>
      <c r="D27" s="4" t="n">
        <v>506</v>
      </c>
      <c r="E27" s="6" t="n">
        <v>1.8</v>
      </c>
      <c r="F27" s="6">
        <f>D27*E27</f>
        <v/>
      </c>
      <c r="G27" s="6">
        <f>D27*0.6</f>
        <v/>
      </c>
      <c r="H27" s="6">
        <f>F27-G27</f>
        <v/>
      </c>
    </row>
    <row r="28">
      <c r="A28" s="7" t="inlineStr">
        <is>
          <t>Marzo</t>
        </is>
      </c>
      <c r="B28" s="8" t="inlineStr">
        <is>
          <t>Cerradura doble paleta</t>
        </is>
      </c>
      <c r="C28" s="8" t="inlineStr">
        <is>
          <t>Seguridad</t>
        </is>
      </c>
      <c r="D28" s="7" t="n">
        <v>81</v>
      </c>
      <c r="E28" s="9" t="n">
        <v>35</v>
      </c>
      <c r="F28" s="9">
        <f>D28*E28</f>
        <v/>
      </c>
      <c r="G28" s="9">
        <f>D28*17.0</f>
        <v/>
      </c>
      <c r="H28" s="9">
        <f>F28-G28</f>
        <v/>
      </c>
    </row>
    <row r="29">
      <c r="A29" s="4" t="inlineStr">
        <is>
          <t>Abril</t>
        </is>
      </c>
      <c r="B29" s="5" t="inlineStr">
        <is>
          <t>Tornillos 6x1 (caja x100)</t>
        </is>
      </c>
      <c r="C29" s="5" t="inlineStr">
        <is>
          <t>Fijaciones</t>
        </is>
      </c>
      <c r="D29" s="4" t="n">
        <v>1084</v>
      </c>
      <c r="E29" s="6" t="n">
        <v>1.2</v>
      </c>
      <c r="F29" s="6">
        <f>D29*E29</f>
        <v/>
      </c>
      <c r="G29" s="6">
        <f>D29*0.45</f>
        <v/>
      </c>
      <c r="H29" s="6">
        <f>F29-G29</f>
        <v/>
      </c>
    </row>
    <row r="30">
      <c r="A30" s="7" t="inlineStr">
        <is>
          <t>Abril</t>
        </is>
      </c>
      <c r="B30" s="8" t="inlineStr">
        <is>
          <t>Pintura látex blanca 4L</t>
        </is>
      </c>
      <c r="C30" s="8" t="inlineStr">
        <is>
          <t>Pinturas</t>
        </is>
      </c>
      <c r="D30" s="7" t="n">
        <v>289</v>
      </c>
      <c r="E30" s="9" t="n">
        <v>18.5</v>
      </c>
      <c r="F30" s="9">
        <f>D30*E30</f>
        <v/>
      </c>
      <c r="G30" s="9">
        <f>D30*9.8</f>
        <v/>
      </c>
      <c r="H30" s="9">
        <f>F30-G30</f>
        <v/>
      </c>
    </row>
    <row r="31">
      <c r="A31" s="4" t="inlineStr">
        <is>
          <t>Abril</t>
        </is>
      </c>
      <c r="B31" s="5" t="inlineStr">
        <is>
          <t>Llave combinada 13mm</t>
        </is>
      </c>
      <c r="C31" s="5" t="inlineStr">
        <is>
          <t>Herramientas</t>
        </is>
      </c>
      <c r="D31" s="4" t="n">
        <v>116</v>
      </c>
      <c r="E31" s="6" t="n">
        <v>12</v>
      </c>
      <c r="F31" s="6">
        <f>D31*E31</f>
        <v/>
      </c>
      <c r="G31" s="6">
        <f>D31*5.5</f>
        <v/>
      </c>
      <c r="H31" s="6">
        <f>F31-G31</f>
        <v/>
      </c>
    </row>
    <row r="32">
      <c r="A32" s="7" t="inlineStr">
        <is>
          <t>Abril</t>
        </is>
      </c>
      <c r="B32" s="8" t="inlineStr">
        <is>
          <t>Cinta métrica 5m</t>
        </is>
      </c>
      <c r="C32" s="8" t="inlineStr">
        <is>
          <t>Medición</t>
        </is>
      </c>
      <c r="D32" s="7" t="n">
        <v>176</v>
      </c>
      <c r="E32" s="9" t="n">
        <v>8.9</v>
      </c>
      <c r="F32" s="9">
        <f>D32*E32</f>
        <v/>
      </c>
      <c r="G32" s="9">
        <f>D32*3.2</f>
        <v/>
      </c>
      <c r="H32" s="9">
        <f>F32-G32</f>
        <v/>
      </c>
    </row>
    <row r="33">
      <c r="A33" s="4" t="inlineStr">
        <is>
          <t>Abril</t>
        </is>
      </c>
      <c r="B33" s="5" t="inlineStr">
        <is>
          <t>Taladro percutor 650W</t>
        </is>
      </c>
      <c r="C33" s="5" t="inlineStr">
        <is>
          <t>Eléctricos</t>
        </is>
      </c>
      <c r="D33" s="4" t="n">
        <v>51</v>
      </c>
      <c r="E33" s="6" t="n">
        <v>89</v>
      </c>
      <c r="F33" s="6">
        <f>D33*E33</f>
        <v/>
      </c>
      <c r="G33" s="6">
        <f>D33*52.0</f>
        <v/>
      </c>
      <c r="H33" s="6">
        <f>F33-G33</f>
        <v/>
      </c>
    </row>
    <row r="34">
      <c r="A34" s="7" t="inlineStr">
        <is>
          <t>Abril</t>
        </is>
      </c>
      <c r="B34" s="8" t="inlineStr">
        <is>
          <t>Tubo PVC 110mm x 6m</t>
        </is>
      </c>
      <c r="C34" s="8" t="inlineStr">
        <is>
          <t>Plomería</t>
        </is>
      </c>
      <c r="D34" s="7" t="n">
        <v>194</v>
      </c>
      <c r="E34" s="9" t="n">
        <v>22</v>
      </c>
      <c r="F34" s="9">
        <f>D34*E34</f>
        <v/>
      </c>
      <c r="G34" s="9">
        <f>D34*11.5</f>
        <v/>
      </c>
      <c r="H34" s="9">
        <f>F34-G34</f>
        <v/>
      </c>
    </row>
    <row r="35">
      <c r="A35" s="4" t="inlineStr">
        <is>
          <t>Abril</t>
        </is>
      </c>
      <c r="B35" s="5" t="inlineStr">
        <is>
          <t>Lija al agua grano 120</t>
        </is>
      </c>
      <c r="C35" s="5" t="inlineStr">
        <is>
          <t>Abrasivos</t>
        </is>
      </c>
      <c r="D35" s="4" t="n">
        <v>644</v>
      </c>
      <c r="E35" s="6" t="n">
        <v>1.8</v>
      </c>
      <c r="F35" s="6">
        <f>D35*E35</f>
        <v/>
      </c>
      <c r="G35" s="6">
        <f>D35*0.6</f>
        <v/>
      </c>
      <c r="H35" s="6">
        <f>F35-G35</f>
        <v/>
      </c>
    </row>
    <row r="36">
      <c r="A36" s="7" t="inlineStr">
        <is>
          <t>Abril</t>
        </is>
      </c>
      <c r="B36" s="8" t="inlineStr">
        <is>
          <t>Cerradura doble paleta</t>
        </is>
      </c>
      <c r="C36" s="8" t="inlineStr">
        <is>
          <t>Seguridad</t>
        </is>
      </c>
      <c r="D36" s="7" t="n">
        <v>112</v>
      </c>
      <c r="E36" s="9" t="n">
        <v>35</v>
      </c>
      <c r="F36" s="9">
        <f>D36*E36</f>
        <v/>
      </c>
      <c r="G36" s="9">
        <f>D36*17.0</f>
        <v/>
      </c>
      <c r="H36" s="9">
        <f>F36-G36</f>
        <v/>
      </c>
    </row>
    <row r="37">
      <c r="A37" s="4" t="inlineStr">
        <is>
          <t>Mayo</t>
        </is>
      </c>
      <c r="B37" s="5" t="inlineStr">
        <is>
          <t>Tornillos 6x1 (caja x100)</t>
        </is>
      </c>
      <c r="C37" s="5" t="inlineStr">
        <is>
          <t>Fijaciones</t>
        </is>
      </c>
      <c r="D37" s="4" t="n">
        <v>888</v>
      </c>
      <c r="E37" s="6" t="n">
        <v>1.2</v>
      </c>
      <c r="F37" s="6">
        <f>D37*E37</f>
        <v/>
      </c>
      <c r="G37" s="6">
        <f>D37*0.45</f>
        <v/>
      </c>
      <c r="H37" s="6">
        <f>F37-G37</f>
        <v/>
      </c>
    </row>
    <row r="38">
      <c r="A38" s="7" t="inlineStr">
        <is>
          <t>Mayo</t>
        </is>
      </c>
      <c r="B38" s="8" t="inlineStr">
        <is>
          <t>Pintura látex blanca 4L</t>
        </is>
      </c>
      <c r="C38" s="8" t="inlineStr">
        <is>
          <t>Pinturas</t>
        </is>
      </c>
      <c r="D38" s="7" t="n">
        <v>398</v>
      </c>
      <c r="E38" s="9" t="n">
        <v>18.5</v>
      </c>
      <c r="F38" s="9">
        <f>D38*E38</f>
        <v/>
      </c>
      <c r="G38" s="9">
        <f>D38*9.8</f>
        <v/>
      </c>
      <c r="H38" s="9">
        <f>F38-G38</f>
        <v/>
      </c>
    </row>
    <row r="39">
      <c r="A39" s="4" t="inlineStr">
        <is>
          <t>Mayo</t>
        </is>
      </c>
      <c r="B39" s="5" t="inlineStr">
        <is>
          <t>Llave combinada 13mm</t>
        </is>
      </c>
      <c r="C39" s="5" t="inlineStr">
        <is>
          <t>Herramientas</t>
        </is>
      </c>
      <c r="D39" s="4" t="n">
        <v>138</v>
      </c>
      <c r="E39" s="6" t="n">
        <v>12</v>
      </c>
      <c r="F39" s="6">
        <f>D39*E39</f>
        <v/>
      </c>
      <c r="G39" s="6">
        <f>D39*5.5</f>
        <v/>
      </c>
      <c r="H39" s="6">
        <f>F39-G39</f>
        <v/>
      </c>
    </row>
    <row r="40">
      <c r="A40" s="7" t="inlineStr">
        <is>
          <t>Mayo</t>
        </is>
      </c>
      <c r="B40" s="8" t="inlineStr">
        <is>
          <t>Cinta métrica 5m</t>
        </is>
      </c>
      <c r="C40" s="8" t="inlineStr">
        <is>
          <t>Medición</t>
        </is>
      </c>
      <c r="D40" s="7" t="n">
        <v>231</v>
      </c>
      <c r="E40" s="9" t="n">
        <v>8.9</v>
      </c>
      <c r="F40" s="9">
        <f>D40*E40</f>
        <v/>
      </c>
      <c r="G40" s="9">
        <f>D40*3.2</f>
        <v/>
      </c>
      <c r="H40" s="9">
        <f>F40-G40</f>
        <v/>
      </c>
    </row>
    <row r="41">
      <c r="A41" s="4" t="inlineStr">
        <is>
          <t>Mayo</t>
        </is>
      </c>
      <c r="B41" s="5" t="inlineStr">
        <is>
          <t>Taladro percutor 650W</t>
        </is>
      </c>
      <c r="C41" s="5" t="inlineStr">
        <is>
          <t>Eléctricos</t>
        </is>
      </c>
      <c r="D41" s="4" t="n">
        <v>50</v>
      </c>
      <c r="E41" s="6" t="n">
        <v>89</v>
      </c>
      <c r="F41" s="6">
        <f>D41*E41</f>
        <v/>
      </c>
      <c r="G41" s="6">
        <f>D41*52.0</f>
        <v/>
      </c>
      <c r="H41" s="6">
        <f>F41-G41</f>
        <v/>
      </c>
    </row>
    <row r="42">
      <c r="A42" s="7" t="inlineStr">
        <is>
          <t>Mayo</t>
        </is>
      </c>
      <c r="B42" s="8" t="inlineStr">
        <is>
          <t>Tubo PVC 110mm x 6m</t>
        </is>
      </c>
      <c r="C42" s="8" t="inlineStr">
        <is>
          <t>Plomería</t>
        </is>
      </c>
      <c r="D42" s="7" t="n">
        <v>196</v>
      </c>
      <c r="E42" s="9" t="n">
        <v>22</v>
      </c>
      <c r="F42" s="9">
        <f>D42*E42</f>
        <v/>
      </c>
      <c r="G42" s="9">
        <f>D42*11.5</f>
        <v/>
      </c>
      <c r="H42" s="9">
        <f>F42-G42</f>
        <v/>
      </c>
    </row>
    <row r="43">
      <c r="A43" s="4" t="inlineStr">
        <is>
          <t>Mayo</t>
        </is>
      </c>
      <c r="B43" s="5" t="inlineStr">
        <is>
          <t>Lija al agua grano 120</t>
        </is>
      </c>
      <c r="C43" s="5" t="inlineStr">
        <is>
          <t>Abrasivos</t>
        </is>
      </c>
      <c r="D43" s="4" t="n">
        <v>660</v>
      </c>
      <c r="E43" s="6" t="n">
        <v>1.8</v>
      </c>
      <c r="F43" s="6">
        <f>D43*E43</f>
        <v/>
      </c>
      <c r="G43" s="6">
        <f>D43*0.6</f>
        <v/>
      </c>
      <c r="H43" s="6">
        <f>F43-G43</f>
        <v/>
      </c>
    </row>
    <row r="44">
      <c r="A44" s="7" t="inlineStr">
        <is>
          <t>Mayo</t>
        </is>
      </c>
      <c r="B44" s="8" t="inlineStr">
        <is>
          <t>Cerradura doble paleta</t>
        </is>
      </c>
      <c r="C44" s="8" t="inlineStr">
        <is>
          <t>Seguridad</t>
        </is>
      </c>
      <c r="D44" s="7" t="n">
        <v>104</v>
      </c>
      <c r="E44" s="9" t="n">
        <v>35</v>
      </c>
      <c r="F44" s="9">
        <f>D44*E44</f>
        <v/>
      </c>
      <c r="G44" s="9">
        <f>D44*17.0</f>
        <v/>
      </c>
      <c r="H44" s="9">
        <f>F44-G44</f>
        <v/>
      </c>
    </row>
    <row r="45">
      <c r="A45" s="4" t="inlineStr">
        <is>
          <t>Junio</t>
        </is>
      </c>
      <c r="B45" s="5" t="inlineStr">
        <is>
          <t>Tornillos 6x1 (caja x100)</t>
        </is>
      </c>
      <c r="C45" s="5" t="inlineStr">
        <is>
          <t>Fijaciones</t>
        </is>
      </c>
      <c r="D45" s="4" t="n">
        <v>1160</v>
      </c>
      <c r="E45" s="6" t="n">
        <v>1.2</v>
      </c>
      <c r="F45" s="6">
        <f>D45*E45</f>
        <v/>
      </c>
      <c r="G45" s="6">
        <f>D45*0.45</f>
        <v/>
      </c>
      <c r="H45" s="6">
        <f>F45-G45</f>
        <v/>
      </c>
    </row>
    <row r="46">
      <c r="A46" s="7" t="inlineStr">
        <is>
          <t>Junio</t>
        </is>
      </c>
      <c r="B46" s="8" t="inlineStr">
        <is>
          <t>Pintura látex blanca 4L</t>
        </is>
      </c>
      <c r="C46" s="8" t="inlineStr">
        <is>
          <t>Pinturas</t>
        </is>
      </c>
      <c r="D46" s="7" t="n">
        <v>288</v>
      </c>
      <c r="E46" s="9" t="n">
        <v>18.5</v>
      </c>
      <c r="F46" s="9">
        <f>D46*E46</f>
        <v/>
      </c>
      <c r="G46" s="9">
        <f>D46*9.8</f>
        <v/>
      </c>
      <c r="H46" s="9">
        <f>F46-G46</f>
        <v/>
      </c>
    </row>
    <row r="47">
      <c r="A47" s="4" t="inlineStr">
        <is>
          <t>Junio</t>
        </is>
      </c>
      <c r="B47" s="5" t="inlineStr">
        <is>
          <t>Llave combinada 13mm</t>
        </is>
      </c>
      <c r="C47" s="5" t="inlineStr">
        <is>
          <t>Herramientas</t>
        </is>
      </c>
      <c r="D47" s="4" t="n">
        <v>152</v>
      </c>
      <c r="E47" s="6" t="n">
        <v>12</v>
      </c>
      <c r="F47" s="6">
        <f>D47*E47</f>
        <v/>
      </c>
      <c r="G47" s="6">
        <f>D47*5.5</f>
        <v/>
      </c>
      <c r="H47" s="6">
        <f>F47-G47</f>
        <v/>
      </c>
    </row>
    <row r="48">
      <c r="A48" s="7" t="inlineStr">
        <is>
          <t>Junio</t>
        </is>
      </c>
      <c r="B48" s="8" t="inlineStr">
        <is>
          <t>Cinta métrica 5m</t>
        </is>
      </c>
      <c r="C48" s="8" t="inlineStr">
        <is>
          <t>Medición</t>
        </is>
      </c>
      <c r="D48" s="7" t="n">
        <v>240</v>
      </c>
      <c r="E48" s="9" t="n">
        <v>8.9</v>
      </c>
      <c r="F48" s="9">
        <f>D48*E48</f>
        <v/>
      </c>
      <c r="G48" s="9">
        <f>D48*3.2</f>
        <v/>
      </c>
      <c r="H48" s="9">
        <f>F48-G48</f>
        <v/>
      </c>
    </row>
    <row r="49">
      <c r="A49" s="4" t="inlineStr">
        <is>
          <t>Junio</t>
        </is>
      </c>
      <c r="B49" s="5" t="inlineStr">
        <is>
          <t>Taladro percutor 650W</t>
        </is>
      </c>
      <c r="C49" s="5" t="inlineStr">
        <is>
          <t>Eléctricos</t>
        </is>
      </c>
      <c r="D49" s="4" t="n">
        <v>40</v>
      </c>
      <c r="E49" s="6" t="n">
        <v>89</v>
      </c>
      <c r="F49" s="6">
        <f>D49*E49</f>
        <v/>
      </c>
      <c r="G49" s="6">
        <f>D49*52.0</f>
        <v/>
      </c>
      <c r="H49" s="6">
        <f>F49-G49</f>
        <v/>
      </c>
    </row>
    <row r="50">
      <c r="A50" s="7" t="inlineStr">
        <is>
          <t>Junio</t>
        </is>
      </c>
      <c r="B50" s="8" t="inlineStr">
        <is>
          <t>Tubo PVC 110mm x 6m</t>
        </is>
      </c>
      <c r="C50" s="8" t="inlineStr">
        <is>
          <t>Plomería</t>
        </is>
      </c>
      <c r="D50" s="7" t="n">
        <v>189</v>
      </c>
      <c r="E50" s="9" t="n">
        <v>22</v>
      </c>
      <c r="F50" s="9">
        <f>D50*E50</f>
        <v/>
      </c>
      <c r="G50" s="9">
        <f>D50*11.5</f>
        <v/>
      </c>
      <c r="H50" s="9">
        <f>F50-G50</f>
        <v/>
      </c>
    </row>
    <row r="51">
      <c r="A51" s="4" t="inlineStr">
        <is>
          <t>Junio</t>
        </is>
      </c>
      <c r="B51" s="5" t="inlineStr">
        <is>
          <t>Lija al agua grano 120</t>
        </is>
      </c>
      <c r="C51" s="5" t="inlineStr">
        <is>
          <t>Abrasivos</t>
        </is>
      </c>
      <c r="D51" s="4" t="n">
        <v>521</v>
      </c>
      <c r="E51" s="6" t="n">
        <v>1.8</v>
      </c>
      <c r="F51" s="6">
        <f>D51*E51</f>
        <v/>
      </c>
      <c r="G51" s="6">
        <f>D51*0.6</f>
        <v/>
      </c>
      <c r="H51" s="6">
        <f>F51-G51</f>
        <v/>
      </c>
    </row>
    <row r="52">
      <c r="A52" s="7" t="inlineStr">
        <is>
          <t>Junio</t>
        </is>
      </c>
      <c r="B52" s="8" t="inlineStr">
        <is>
          <t>Cerradura doble paleta</t>
        </is>
      </c>
      <c r="C52" s="8" t="inlineStr">
        <is>
          <t>Seguridad</t>
        </is>
      </c>
      <c r="D52" s="7" t="n">
        <v>106</v>
      </c>
      <c r="E52" s="9" t="n">
        <v>35</v>
      </c>
      <c r="F52" s="9">
        <f>D52*E52</f>
        <v/>
      </c>
      <c r="G52" s="9">
        <f>D52*17.0</f>
        <v/>
      </c>
      <c r="H52" s="9">
        <f>F52-G52</f>
        <v/>
      </c>
    </row>
    <row r="53">
      <c r="A53" s="4" t="inlineStr">
        <is>
          <t>Julio</t>
        </is>
      </c>
      <c r="B53" s="5" t="inlineStr">
        <is>
          <t>Tornillos 6x1 (caja x100)</t>
        </is>
      </c>
      <c r="C53" s="5" t="inlineStr">
        <is>
          <t>Fijaciones</t>
        </is>
      </c>
      <c r="D53" s="4" t="n">
        <v>1121</v>
      </c>
      <c r="E53" s="6" t="n">
        <v>1.2</v>
      </c>
      <c r="F53" s="6">
        <f>D53*E53</f>
        <v/>
      </c>
      <c r="G53" s="6">
        <f>D53*0.45</f>
        <v/>
      </c>
      <c r="H53" s="6">
        <f>F53-G53</f>
        <v/>
      </c>
    </row>
    <row r="54">
      <c r="A54" s="7" t="inlineStr">
        <is>
          <t>Julio</t>
        </is>
      </c>
      <c r="B54" s="8" t="inlineStr">
        <is>
          <t>Pintura látex blanca 4L</t>
        </is>
      </c>
      <c r="C54" s="8" t="inlineStr">
        <is>
          <t>Pinturas</t>
        </is>
      </c>
      <c r="D54" s="7" t="n">
        <v>353</v>
      </c>
      <c r="E54" s="9" t="n">
        <v>18.5</v>
      </c>
      <c r="F54" s="9">
        <f>D54*E54</f>
        <v/>
      </c>
      <c r="G54" s="9">
        <f>D54*9.8</f>
        <v/>
      </c>
      <c r="H54" s="9">
        <f>F54-G54</f>
        <v/>
      </c>
    </row>
    <row r="55">
      <c r="A55" s="4" t="inlineStr">
        <is>
          <t>Julio</t>
        </is>
      </c>
      <c r="B55" s="5" t="inlineStr">
        <is>
          <t>Llave combinada 13mm</t>
        </is>
      </c>
      <c r="C55" s="5" t="inlineStr">
        <is>
          <t>Herramientas</t>
        </is>
      </c>
      <c r="D55" s="4" t="n">
        <v>165</v>
      </c>
      <c r="E55" s="6" t="n">
        <v>12</v>
      </c>
      <c r="F55" s="6">
        <f>D55*E55</f>
        <v/>
      </c>
      <c r="G55" s="6">
        <f>D55*5.5</f>
        <v/>
      </c>
      <c r="H55" s="6">
        <f>F55-G55</f>
        <v/>
      </c>
    </row>
    <row r="56">
      <c r="A56" s="7" t="inlineStr">
        <is>
          <t>Julio</t>
        </is>
      </c>
      <c r="B56" s="8" t="inlineStr">
        <is>
          <t>Cinta métrica 5m</t>
        </is>
      </c>
      <c r="C56" s="8" t="inlineStr">
        <is>
          <t>Medición</t>
        </is>
      </c>
      <c r="D56" s="7" t="n">
        <v>228</v>
      </c>
      <c r="E56" s="9" t="n">
        <v>8.9</v>
      </c>
      <c r="F56" s="9">
        <f>D56*E56</f>
        <v/>
      </c>
      <c r="G56" s="9">
        <f>D56*3.2</f>
        <v/>
      </c>
      <c r="H56" s="9">
        <f>F56-G56</f>
        <v/>
      </c>
    </row>
    <row r="57">
      <c r="A57" s="4" t="inlineStr">
        <is>
          <t>Julio</t>
        </is>
      </c>
      <c r="B57" s="5" t="inlineStr">
        <is>
          <t>Taladro percutor 650W</t>
        </is>
      </c>
      <c r="C57" s="5" t="inlineStr">
        <is>
          <t>Eléctricos</t>
        </is>
      </c>
      <c r="D57" s="4" t="n">
        <v>45</v>
      </c>
      <c r="E57" s="6" t="n">
        <v>89</v>
      </c>
      <c r="F57" s="6">
        <f>D57*E57</f>
        <v/>
      </c>
      <c r="G57" s="6">
        <f>D57*52.0</f>
        <v/>
      </c>
      <c r="H57" s="6">
        <f>F57-G57</f>
        <v/>
      </c>
    </row>
    <row r="58">
      <c r="A58" s="7" t="inlineStr">
        <is>
          <t>Julio</t>
        </is>
      </c>
      <c r="B58" s="8" t="inlineStr">
        <is>
          <t>Tubo PVC 110mm x 6m</t>
        </is>
      </c>
      <c r="C58" s="8" t="inlineStr">
        <is>
          <t>Plomería</t>
        </is>
      </c>
      <c r="D58" s="7" t="n">
        <v>273</v>
      </c>
      <c r="E58" s="9" t="n">
        <v>22</v>
      </c>
      <c r="F58" s="9">
        <f>D58*E58</f>
        <v/>
      </c>
      <c r="G58" s="9">
        <f>D58*11.5</f>
        <v/>
      </c>
      <c r="H58" s="9">
        <f>F58-G58</f>
        <v/>
      </c>
    </row>
    <row r="59">
      <c r="A59" s="4" t="inlineStr">
        <is>
          <t>Julio</t>
        </is>
      </c>
      <c r="B59" s="5" t="inlineStr">
        <is>
          <t>Lija al agua grano 120</t>
        </is>
      </c>
      <c r="C59" s="5" t="inlineStr">
        <is>
          <t>Abrasivos</t>
        </is>
      </c>
      <c r="D59" s="4" t="n">
        <v>716</v>
      </c>
      <c r="E59" s="6" t="n">
        <v>1.8</v>
      </c>
      <c r="F59" s="6">
        <f>D59*E59</f>
        <v/>
      </c>
      <c r="G59" s="6">
        <f>D59*0.6</f>
        <v/>
      </c>
      <c r="H59" s="6">
        <f>F59-G59</f>
        <v/>
      </c>
    </row>
    <row r="60">
      <c r="A60" s="7" t="inlineStr">
        <is>
          <t>Julio</t>
        </is>
      </c>
      <c r="B60" s="8" t="inlineStr">
        <is>
          <t>Cerradura doble paleta</t>
        </is>
      </c>
      <c r="C60" s="8" t="inlineStr">
        <is>
          <t>Seguridad</t>
        </is>
      </c>
      <c r="D60" s="7" t="n">
        <v>127</v>
      </c>
      <c r="E60" s="9" t="n">
        <v>35</v>
      </c>
      <c r="F60" s="9">
        <f>D60*E60</f>
        <v/>
      </c>
      <c r="G60" s="9">
        <f>D60*17.0</f>
        <v/>
      </c>
      <c r="H60" s="9">
        <f>F60-G60</f>
        <v/>
      </c>
    </row>
    <row r="61">
      <c r="A61" s="4" t="inlineStr">
        <is>
          <t>Agosto</t>
        </is>
      </c>
      <c r="B61" s="5" t="inlineStr">
        <is>
          <t>Tornillos 6x1 (caja x100)</t>
        </is>
      </c>
      <c r="C61" s="5" t="inlineStr">
        <is>
          <t>Fijaciones</t>
        </is>
      </c>
      <c r="D61" s="4" t="n">
        <v>717</v>
      </c>
      <c r="E61" s="6" t="n">
        <v>1.2</v>
      </c>
      <c r="F61" s="6">
        <f>D61*E61</f>
        <v/>
      </c>
      <c r="G61" s="6">
        <f>D61*0.45</f>
        <v/>
      </c>
      <c r="H61" s="6">
        <f>F61-G61</f>
        <v/>
      </c>
    </row>
    <row r="62">
      <c r="A62" s="7" t="inlineStr">
        <is>
          <t>Agosto</t>
        </is>
      </c>
      <c r="B62" s="8" t="inlineStr">
        <is>
          <t>Pintura látex blanca 4L</t>
        </is>
      </c>
      <c r="C62" s="8" t="inlineStr">
        <is>
          <t>Pinturas</t>
        </is>
      </c>
      <c r="D62" s="7" t="n">
        <v>356</v>
      </c>
      <c r="E62" s="9" t="n">
        <v>18.5</v>
      </c>
      <c r="F62" s="9">
        <f>D62*E62</f>
        <v/>
      </c>
      <c r="G62" s="9">
        <f>D62*9.8</f>
        <v/>
      </c>
      <c r="H62" s="9">
        <f>F62-G62</f>
        <v/>
      </c>
    </row>
    <row r="63">
      <c r="A63" s="4" t="inlineStr">
        <is>
          <t>Agosto</t>
        </is>
      </c>
      <c r="B63" s="5" t="inlineStr">
        <is>
          <t>Llave combinada 13mm</t>
        </is>
      </c>
      <c r="C63" s="5" t="inlineStr">
        <is>
          <t>Herramientas</t>
        </is>
      </c>
      <c r="D63" s="4" t="n">
        <v>121</v>
      </c>
      <c r="E63" s="6" t="n">
        <v>12</v>
      </c>
      <c r="F63" s="6">
        <f>D63*E63</f>
        <v/>
      </c>
      <c r="G63" s="6">
        <f>D63*5.5</f>
        <v/>
      </c>
      <c r="H63" s="6">
        <f>F63-G63</f>
        <v/>
      </c>
    </row>
    <row r="64">
      <c r="A64" s="7" t="inlineStr">
        <is>
          <t>Agosto</t>
        </is>
      </c>
      <c r="B64" s="8" t="inlineStr">
        <is>
          <t>Cinta métrica 5m</t>
        </is>
      </c>
      <c r="C64" s="8" t="inlineStr">
        <is>
          <t>Medición</t>
        </is>
      </c>
      <c r="D64" s="7" t="n">
        <v>210</v>
      </c>
      <c r="E64" s="9" t="n">
        <v>8.9</v>
      </c>
      <c r="F64" s="9">
        <f>D64*E64</f>
        <v/>
      </c>
      <c r="G64" s="9">
        <f>D64*3.2</f>
        <v/>
      </c>
      <c r="H64" s="9">
        <f>F64-G64</f>
        <v/>
      </c>
    </row>
    <row r="65">
      <c r="A65" s="4" t="inlineStr">
        <is>
          <t>Agosto</t>
        </is>
      </c>
      <c r="B65" s="5" t="inlineStr">
        <is>
          <t>Taladro percutor 650W</t>
        </is>
      </c>
      <c r="C65" s="5" t="inlineStr">
        <is>
          <t>Eléctricos</t>
        </is>
      </c>
      <c r="D65" s="4" t="n">
        <v>54</v>
      </c>
      <c r="E65" s="6" t="n">
        <v>89</v>
      </c>
      <c r="F65" s="6">
        <f>D65*E65</f>
        <v/>
      </c>
      <c r="G65" s="6">
        <f>D65*52.0</f>
        <v/>
      </c>
      <c r="H65" s="6">
        <f>F65-G65</f>
        <v/>
      </c>
    </row>
    <row r="66">
      <c r="A66" s="7" t="inlineStr">
        <is>
          <t>Agosto</t>
        </is>
      </c>
      <c r="B66" s="8" t="inlineStr">
        <is>
          <t>Tubo PVC 110mm x 6m</t>
        </is>
      </c>
      <c r="C66" s="8" t="inlineStr">
        <is>
          <t>Plomería</t>
        </is>
      </c>
      <c r="D66" s="7" t="n">
        <v>198</v>
      </c>
      <c r="E66" s="9" t="n">
        <v>22</v>
      </c>
      <c r="F66" s="9">
        <f>D66*E66</f>
        <v/>
      </c>
      <c r="G66" s="9">
        <f>D66*11.5</f>
        <v/>
      </c>
      <c r="H66" s="9">
        <f>F66-G66</f>
        <v/>
      </c>
    </row>
    <row r="67">
      <c r="A67" s="4" t="inlineStr">
        <is>
          <t>Agosto</t>
        </is>
      </c>
      <c r="B67" s="5" t="inlineStr">
        <is>
          <t>Lija al agua grano 120</t>
        </is>
      </c>
      <c r="C67" s="5" t="inlineStr">
        <is>
          <t>Abrasivos</t>
        </is>
      </c>
      <c r="D67" s="4" t="n">
        <v>570</v>
      </c>
      <c r="E67" s="6" t="n">
        <v>1.8</v>
      </c>
      <c r="F67" s="6">
        <f>D67*E67</f>
        <v/>
      </c>
      <c r="G67" s="6">
        <f>D67*0.6</f>
        <v/>
      </c>
      <c r="H67" s="6">
        <f>F67-G67</f>
        <v/>
      </c>
    </row>
    <row r="68">
      <c r="A68" s="7" t="inlineStr">
        <is>
          <t>Agosto</t>
        </is>
      </c>
      <c r="B68" s="8" t="inlineStr">
        <is>
          <t>Cerradura doble paleta</t>
        </is>
      </c>
      <c r="C68" s="8" t="inlineStr">
        <is>
          <t>Seguridad</t>
        </is>
      </c>
      <c r="D68" s="7" t="n">
        <v>110</v>
      </c>
      <c r="E68" s="9" t="n">
        <v>35</v>
      </c>
      <c r="F68" s="9">
        <f>D68*E68</f>
        <v/>
      </c>
      <c r="G68" s="9">
        <f>D68*17.0</f>
        <v/>
      </c>
      <c r="H68" s="9">
        <f>F68-G68</f>
        <v/>
      </c>
    </row>
    <row r="69">
      <c r="A69" s="4" t="inlineStr">
        <is>
          <t>Septiembre</t>
        </is>
      </c>
      <c r="B69" s="5" t="inlineStr">
        <is>
          <t>Tornillos 6x1 (caja x100)</t>
        </is>
      </c>
      <c r="C69" s="5" t="inlineStr">
        <is>
          <t>Fijaciones</t>
        </is>
      </c>
      <c r="D69" s="4" t="n">
        <v>1031</v>
      </c>
      <c r="E69" s="6" t="n">
        <v>1.2</v>
      </c>
      <c r="F69" s="6">
        <f>D69*E69</f>
        <v/>
      </c>
      <c r="G69" s="6">
        <f>D69*0.45</f>
        <v/>
      </c>
      <c r="H69" s="6">
        <f>F69-G69</f>
        <v/>
      </c>
    </row>
    <row r="70">
      <c r="A70" s="7" t="inlineStr">
        <is>
          <t>Septiembre</t>
        </is>
      </c>
      <c r="B70" s="8" t="inlineStr">
        <is>
          <t>Pintura látex blanca 4L</t>
        </is>
      </c>
      <c r="C70" s="8" t="inlineStr">
        <is>
          <t>Pinturas</t>
        </is>
      </c>
      <c r="D70" s="7" t="n">
        <v>364</v>
      </c>
      <c r="E70" s="9" t="n">
        <v>18.5</v>
      </c>
      <c r="F70" s="9">
        <f>D70*E70</f>
        <v/>
      </c>
      <c r="G70" s="9">
        <f>D70*9.8</f>
        <v/>
      </c>
      <c r="H70" s="9">
        <f>F70-G70</f>
        <v/>
      </c>
    </row>
    <row r="71">
      <c r="A71" s="4" t="inlineStr">
        <is>
          <t>Septiembre</t>
        </is>
      </c>
      <c r="B71" s="5" t="inlineStr">
        <is>
          <t>Llave combinada 13mm</t>
        </is>
      </c>
      <c r="C71" s="5" t="inlineStr">
        <is>
          <t>Herramientas</t>
        </is>
      </c>
      <c r="D71" s="4" t="n">
        <v>127</v>
      </c>
      <c r="E71" s="6" t="n">
        <v>12</v>
      </c>
      <c r="F71" s="6">
        <f>D71*E71</f>
        <v/>
      </c>
      <c r="G71" s="6">
        <f>D71*5.5</f>
        <v/>
      </c>
      <c r="H71" s="6">
        <f>F71-G71</f>
        <v/>
      </c>
    </row>
    <row r="72">
      <c r="A72" s="7" t="inlineStr">
        <is>
          <t>Septiembre</t>
        </is>
      </c>
      <c r="B72" s="8" t="inlineStr">
        <is>
          <t>Cinta métrica 5m</t>
        </is>
      </c>
      <c r="C72" s="8" t="inlineStr">
        <is>
          <t>Medición</t>
        </is>
      </c>
      <c r="D72" s="7" t="n">
        <v>168</v>
      </c>
      <c r="E72" s="9" t="n">
        <v>8.9</v>
      </c>
      <c r="F72" s="9">
        <f>D72*E72</f>
        <v/>
      </c>
      <c r="G72" s="9">
        <f>D72*3.2</f>
        <v/>
      </c>
      <c r="H72" s="9">
        <f>F72-G72</f>
        <v/>
      </c>
    </row>
    <row r="73">
      <c r="A73" s="4" t="inlineStr">
        <is>
          <t>Septiembre</t>
        </is>
      </c>
      <c r="B73" s="5" t="inlineStr">
        <is>
          <t>Taladro percutor 650W</t>
        </is>
      </c>
      <c r="C73" s="5" t="inlineStr">
        <is>
          <t>Eléctricos</t>
        </is>
      </c>
      <c r="D73" s="4" t="n">
        <v>38</v>
      </c>
      <c r="E73" s="6" t="n">
        <v>89</v>
      </c>
      <c r="F73" s="6">
        <f>D73*E73</f>
        <v/>
      </c>
      <c r="G73" s="6">
        <f>D73*52.0</f>
        <v/>
      </c>
      <c r="H73" s="6">
        <f>F73-G73</f>
        <v/>
      </c>
    </row>
    <row r="74">
      <c r="A74" s="7" t="inlineStr">
        <is>
          <t>Septiembre</t>
        </is>
      </c>
      <c r="B74" s="8" t="inlineStr">
        <is>
          <t>Tubo PVC 110mm x 6m</t>
        </is>
      </c>
      <c r="C74" s="8" t="inlineStr">
        <is>
          <t>Plomería</t>
        </is>
      </c>
      <c r="D74" s="7" t="n">
        <v>161</v>
      </c>
      <c r="E74" s="9" t="n">
        <v>22</v>
      </c>
      <c r="F74" s="9">
        <f>D74*E74</f>
        <v/>
      </c>
      <c r="G74" s="9">
        <f>D74*11.5</f>
        <v/>
      </c>
      <c r="H74" s="9">
        <f>F74-G74</f>
        <v/>
      </c>
    </row>
    <row r="75">
      <c r="A75" s="4" t="inlineStr">
        <is>
          <t>Septiembre</t>
        </is>
      </c>
      <c r="B75" s="5" t="inlineStr">
        <is>
          <t>Lija al agua grano 120</t>
        </is>
      </c>
      <c r="C75" s="5" t="inlineStr">
        <is>
          <t>Abrasivos</t>
        </is>
      </c>
      <c r="D75" s="4" t="n">
        <v>467</v>
      </c>
      <c r="E75" s="6" t="n">
        <v>1.8</v>
      </c>
      <c r="F75" s="6">
        <f>D75*E75</f>
        <v/>
      </c>
      <c r="G75" s="6">
        <f>D75*0.6</f>
        <v/>
      </c>
      <c r="H75" s="6">
        <f>F75-G75</f>
        <v/>
      </c>
    </row>
    <row r="76">
      <c r="A76" s="7" t="inlineStr">
        <is>
          <t>Septiembre</t>
        </is>
      </c>
      <c r="B76" s="8" t="inlineStr">
        <is>
          <t>Cerradura doble paleta</t>
        </is>
      </c>
      <c r="C76" s="8" t="inlineStr">
        <is>
          <t>Seguridad</t>
        </is>
      </c>
      <c r="D76" s="7" t="n">
        <v>124</v>
      </c>
      <c r="E76" s="9" t="n">
        <v>35</v>
      </c>
      <c r="F76" s="9">
        <f>D76*E76</f>
        <v/>
      </c>
      <c r="G76" s="9">
        <f>D76*17.0</f>
        <v/>
      </c>
      <c r="H76" s="9">
        <f>F76-G76</f>
        <v/>
      </c>
    </row>
    <row r="77">
      <c r="A77" s="4" t="inlineStr">
        <is>
          <t>Octubre</t>
        </is>
      </c>
      <c r="B77" s="5" t="inlineStr">
        <is>
          <t>Tornillos 6x1 (caja x100)</t>
        </is>
      </c>
      <c r="C77" s="5" t="inlineStr">
        <is>
          <t>Fijaciones</t>
        </is>
      </c>
      <c r="D77" s="4" t="n">
        <v>1047</v>
      </c>
      <c r="E77" s="6" t="n">
        <v>1.2</v>
      </c>
      <c r="F77" s="6">
        <f>D77*E77</f>
        <v/>
      </c>
      <c r="G77" s="6">
        <f>D77*0.45</f>
        <v/>
      </c>
      <c r="H77" s="6">
        <f>F77-G77</f>
        <v/>
      </c>
    </row>
    <row r="78">
      <c r="A78" s="7" t="inlineStr">
        <is>
          <t>Octubre</t>
        </is>
      </c>
      <c r="B78" s="8" t="inlineStr">
        <is>
          <t>Pintura látex blanca 4L</t>
        </is>
      </c>
      <c r="C78" s="8" t="inlineStr">
        <is>
          <t>Pinturas</t>
        </is>
      </c>
      <c r="D78" s="7" t="n">
        <v>286</v>
      </c>
      <c r="E78" s="9" t="n">
        <v>18.5</v>
      </c>
      <c r="F78" s="9">
        <f>D78*E78</f>
        <v/>
      </c>
      <c r="G78" s="9">
        <f>D78*9.8</f>
        <v/>
      </c>
      <c r="H78" s="9">
        <f>F78-G78</f>
        <v/>
      </c>
    </row>
    <row r="79">
      <c r="A79" s="4" t="inlineStr">
        <is>
          <t>Octubre</t>
        </is>
      </c>
      <c r="B79" s="5" t="inlineStr">
        <is>
          <t>Llave combinada 13mm</t>
        </is>
      </c>
      <c r="C79" s="5" t="inlineStr">
        <is>
          <t>Herramientas</t>
        </is>
      </c>
      <c r="D79" s="4" t="n">
        <v>161</v>
      </c>
      <c r="E79" s="6" t="n">
        <v>12</v>
      </c>
      <c r="F79" s="6">
        <f>D79*E79</f>
        <v/>
      </c>
      <c r="G79" s="6">
        <f>D79*5.5</f>
        <v/>
      </c>
      <c r="H79" s="6">
        <f>F79-G79</f>
        <v/>
      </c>
    </row>
    <row r="80">
      <c r="A80" s="7" t="inlineStr">
        <is>
          <t>Octubre</t>
        </is>
      </c>
      <c r="B80" s="8" t="inlineStr">
        <is>
          <t>Cinta métrica 5m</t>
        </is>
      </c>
      <c r="C80" s="8" t="inlineStr">
        <is>
          <t>Medición</t>
        </is>
      </c>
      <c r="D80" s="7" t="n">
        <v>212</v>
      </c>
      <c r="E80" s="9" t="n">
        <v>8.9</v>
      </c>
      <c r="F80" s="9">
        <f>D80*E80</f>
        <v/>
      </c>
      <c r="G80" s="9">
        <f>D80*3.2</f>
        <v/>
      </c>
      <c r="H80" s="9">
        <f>F80-G80</f>
        <v/>
      </c>
    </row>
    <row r="81">
      <c r="A81" s="4" t="inlineStr">
        <is>
          <t>Octubre</t>
        </is>
      </c>
      <c r="B81" s="5" t="inlineStr">
        <is>
          <t>Taladro percutor 650W</t>
        </is>
      </c>
      <c r="C81" s="5" t="inlineStr">
        <is>
          <t>Eléctricos</t>
        </is>
      </c>
      <c r="D81" s="4" t="n">
        <v>52</v>
      </c>
      <c r="E81" s="6" t="n">
        <v>89</v>
      </c>
      <c r="F81" s="6">
        <f>D81*E81</f>
        <v/>
      </c>
      <c r="G81" s="6">
        <f>D81*52.0</f>
        <v/>
      </c>
      <c r="H81" s="6">
        <f>F81-G81</f>
        <v/>
      </c>
    </row>
    <row r="82">
      <c r="A82" s="7" t="inlineStr">
        <is>
          <t>Octubre</t>
        </is>
      </c>
      <c r="B82" s="8" t="inlineStr">
        <is>
          <t>Tubo PVC 110mm x 6m</t>
        </is>
      </c>
      <c r="C82" s="8" t="inlineStr">
        <is>
          <t>Plomería</t>
        </is>
      </c>
      <c r="D82" s="7" t="n">
        <v>180</v>
      </c>
      <c r="E82" s="9" t="n">
        <v>22</v>
      </c>
      <c r="F82" s="9">
        <f>D82*E82</f>
        <v/>
      </c>
      <c r="G82" s="9">
        <f>D82*11.5</f>
        <v/>
      </c>
      <c r="H82" s="9">
        <f>F82-G82</f>
        <v/>
      </c>
    </row>
    <row r="83">
      <c r="A83" s="4" t="inlineStr">
        <is>
          <t>Octubre</t>
        </is>
      </c>
      <c r="B83" s="5" t="inlineStr">
        <is>
          <t>Lija al agua grano 120</t>
        </is>
      </c>
      <c r="C83" s="5" t="inlineStr">
        <is>
          <t>Abrasivos</t>
        </is>
      </c>
      <c r="D83" s="4" t="n">
        <v>483</v>
      </c>
      <c r="E83" s="6" t="n">
        <v>1.8</v>
      </c>
      <c r="F83" s="6">
        <f>D83*E83</f>
        <v/>
      </c>
      <c r="G83" s="6">
        <f>D83*0.6</f>
        <v/>
      </c>
      <c r="H83" s="6">
        <f>F83-G83</f>
        <v/>
      </c>
    </row>
    <row r="84">
      <c r="A84" s="7" t="inlineStr">
        <is>
          <t>Octubre</t>
        </is>
      </c>
      <c r="B84" s="8" t="inlineStr">
        <is>
          <t>Cerradura doble paleta</t>
        </is>
      </c>
      <c r="C84" s="8" t="inlineStr">
        <is>
          <t>Seguridad</t>
        </is>
      </c>
      <c r="D84" s="7" t="n">
        <v>86</v>
      </c>
      <c r="E84" s="9" t="n">
        <v>35</v>
      </c>
      <c r="F84" s="9">
        <f>D84*E84</f>
        <v/>
      </c>
      <c r="G84" s="9">
        <f>D84*17.0</f>
        <v/>
      </c>
      <c r="H84" s="9">
        <f>F84-G84</f>
        <v/>
      </c>
    </row>
    <row r="85">
      <c r="A85" s="4" t="inlineStr">
        <is>
          <t>Noviembre</t>
        </is>
      </c>
      <c r="B85" s="5" t="inlineStr">
        <is>
          <t>Tornillos 6x1 (caja x100)</t>
        </is>
      </c>
      <c r="C85" s="5" t="inlineStr">
        <is>
          <t>Fijaciones</t>
        </is>
      </c>
      <c r="D85" s="4" t="n">
        <v>1034</v>
      </c>
      <c r="E85" s="6" t="n">
        <v>1.2</v>
      </c>
      <c r="F85" s="6">
        <f>D85*E85</f>
        <v/>
      </c>
      <c r="G85" s="6">
        <f>D85*0.45</f>
        <v/>
      </c>
      <c r="H85" s="6">
        <f>F85-G85</f>
        <v/>
      </c>
    </row>
    <row r="86">
      <c r="A86" s="7" t="inlineStr">
        <is>
          <t>Noviembre</t>
        </is>
      </c>
      <c r="B86" s="8" t="inlineStr">
        <is>
          <t>Pintura látex blanca 4L</t>
        </is>
      </c>
      <c r="C86" s="8" t="inlineStr">
        <is>
          <t>Pinturas</t>
        </is>
      </c>
      <c r="D86" s="7" t="n">
        <v>318</v>
      </c>
      <c r="E86" s="9" t="n">
        <v>18.5</v>
      </c>
      <c r="F86" s="9">
        <f>D86*E86</f>
        <v/>
      </c>
      <c r="G86" s="9">
        <f>D86*9.8</f>
        <v/>
      </c>
      <c r="H86" s="9">
        <f>F86-G86</f>
        <v/>
      </c>
    </row>
    <row r="87">
      <c r="A87" s="4" t="inlineStr">
        <is>
          <t>Noviembre</t>
        </is>
      </c>
      <c r="B87" s="5" t="inlineStr">
        <is>
          <t>Llave combinada 13mm</t>
        </is>
      </c>
      <c r="C87" s="5" t="inlineStr">
        <is>
          <t>Herramientas</t>
        </is>
      </c>
      <c r="D87" s="4" t="n">
        <v>178</v>
      </c>
      <c r="E87" s="6" t="n">
        <v>12</v>
      </c>
      <c r="F87" s="6">
        <f>D87*E87</f>
        <v/>
      </c>
      <c r="G87" s="6">
        <f>D87*5.5</f>
        <v/>
      </c>
      <c r="H87" s="6">
        <f>F87-G87</f>
        <v/>
      </c>
    </row>
    <row r="88">
      <c r="A88" s="7" t="inlineStr">
        <is>
          <t>Noviembre</t>
        </is>
      </c>
      <c r="B88" s="8" t="inlineStr">
        <is>
          <t>Cinta métrica 5m</t>
        </is>
      </c>
      <c r="C88" s="8" t="inlineStr">
        <is>
          <t>Medición</t>
        </is>
      </c>
      <c r="D88" s="7" t="n">
        <v>314</v>
      </c>
      <c r="E88" s="9" t="n">
        <v>8.9</v>
      </c>
      <c r="F88" s="9">
        <f>D88*E88</f>
        <v/>
      </c>
      <c r="G88" s="9">
        <f>D88*3.2</f>
        <v/>
      </c>
      <c r="H88" s="9">
        <f>F88-G88</f>
        <v/>
      </c>
    </row>
    <row r="89">
      <c r="A89" s="4" t="inlineStr">
        <is>
          <t>Noviembre</t>
        </is>
      </c>
      <c r="B89" s="5" t="inlineStr">
        <is>
          <t>Taladro percutor 650W</t>
        </is>
      </c>
      <c r="C89" s="5" t="inlineStr">
        <is>
          <t>Eléctricos</t>
        </is>
      </c>
      <c r="D89" s="4" t="n">
        <v>46</v>
      </c>
      <c r="E89" s="6" t="n">
        <v>89</v>
      </c>
      <c r="F89" s="6">
        <f>D89*E89</f>
        <v/>
      </c>
      <c r="G89" s="6">
        <f>D89*52.0</f>
        <v/>
      </c>
      <c r="H89" s="6">
        <f>F89-G89</f>
        <v/>
      </c>
    </row>
    <row r="90">
      <c r="A90" s="7" t="inlineStr">
        <is>
          <t>Noviembre</t>
        </is>
      </c>
      <c r="B90" s="8" t="inlineStr">
        <is>
          <t>Tubo PVC 110mm x 6m</t>
        </is>
      </c>
      <c r="C90" s="8" t="inlineStr">
        <is>
          <t>Plomería</t>
        </is>
      </c>
      <c r="D90" s="7" t="n">
        <v>180</v>
      </c>
      <c r="E90" s="9" t="n">
        <v>22</v>
      </c>
      <c r="F90" s="9">
        <f>D90*E90</f>
        <v/>
      </c>
      <c r="G90" s="9">
        <f>D90*11.5</f>
        <v/>
      </c>
      <c r="H90" s="9">
        <f>F90-G90</f>
        <v/>
      </c>
    </row>
    <row r="91">
      <c r="A91" s="4" t="inlineStr">
        <is>
          <t>Noviembre</t>
        </is>
      </c>
      <c r="B91" s="5" t="inlineStr">
        <is>
          <t>Lija al agua grano 120</t>
        </is>
      </c>
      <c r="C91" s="5" t="inlineStr">
        <is>
          <t>Abrasivos</t>
        </is>
      </c>
      <c r="D91" s="4" t="n">
        <v>806</v>
      </c>
      <c r="E91" s="6" t="n">
        <v>1.8</v>
      </c>
      <c r="F91" s="6">
        <f>D91*E91</f>
        <v/>
      </c>
      <c r="G91" s="6">
        <f>D91*0.6</f>
        <v/>
      </c>
      <c r="H91" s="6">
        <f>F91-G91</f>
        <v/>
      </c>
    </row>
    <row r="92">
      <c r="A92" s="7" t="inlineStr">
        <is>
          <t>Noviembre</t>
        </is>
      </c>
      <c r="B92" s="8" t="inlineStr">
        <is>
          <t>Cerradura doble paleta</t>
        </is>
      </c>
      <c r="C92" s="8" t="inlineStr">
        <is>
          <t>Seguridad</t>
        </is>
      </c>
      <c r="D92" s="7" t="n">
        <v>116</v>
      </c>
      <c r="E92" s="9" t="n">
        <v>35</v>
      </c>
      <c r="F92" s="9">
        <f>D92*E92</f>
        <v/>
      </c>
      <c r="G92" s="9">
        <f>D92*17.0</f>
        <v/>
      </c>
      <c r="H92" s="9">
        <f>F92-G92</f>
        <v/>
      </c>
    </row>
    <row r="93">
      <c r="A93" s="4" t="inlineStr">
        <is>
          <t>Diciembre</t>
        </is>
      </c>
      <c r="B93" s="5" t="inlineStr">
        <is>
          <t>Tornillos 6x1 (caja x100)</t>
        </is>
      </c>
      <c r="C93" s="5" t="inlineStr">
        <is>
          <t>Fijaciones</t>
        </is>
      </c>
      <c r="D93" s="4" t="n">
        <v>782</v>
      </c>
      <c r="E93" s="6" t="n">
        <v>1.2</v>
      </c>
      <c r="F93" s="6">
        <f>D93*E93</f>
        <v/>
      </c>
      <c r="G93" s="6">
        <f>D93*0.45</f>
        <v/>
      </c>
      <c r="H93" s="6">
        <f>F93-G93</f>
        <v/>
      </c>
    </row>
    <row r="94">
      <c r="A94" s="7" t="inlineStr">
        <is>
          <t>Diciembre</t>
        </is>
      </c>
      <c r="B94" s="8" t="inlineStr">
        <is>
          <t>Pintura látex blanca 4L</t>
        </is>
      </c>
      <c r="C94" s="8" t="inlineStr">
        <is>
          <t>Pinturas</t>
        </is>
      </c>
      <c r="D94" s="7" t="n">
        <v>276</v>
      </c>
      <c r="E94" s="9" t="n">
        <v>18.5</v>
      </c>
      <c r="F94" s="9">
        <f>D94*E94</f>
        <v/>
      </c>
      <c r="G94" s="9">
        <f>D94*9.8</f>
        <v/>
      </c>
      <c r="H94" s="9">
        <f>F94-G94</f>
        <v/>
      </c>
    </row>
    <row r="95">
      <c r="A95" s="4" t="inlineStr">
        <is>
          <t>Diciembre</t>
        </is>
      </c>
      <c r="B95" s="5" t="inlineStr">
        <is>
          <t>Llave combinada 13mm</t>
        </is>
      </c>
      <c r="C95" s="5" t="inlineStr">
        <is>
          <t>Herramientas</t>
        </is>
      </c>
      <c r="D95" s="4" t="n">
        <v>135</v>
      </c>
      <c r="E95" s="6" t="n">
        <v>12</v>
      </c>
      <c r="F95" s="6">
        <f>D95*E95</f>
        <v/>
      </c>
      <c r="G95" s="6">
        <f>D95*5.5</f>
        <v/>
      </c>
      <c r="H95" s="6">
        <f>F95-G95</f>
        <v/>
      </c>
    </row>
    <row r="96">
      <c r="A96" s="7" t="inlineStr">
        <is>
          <t>Diciembre</t>
        </is>
      </c>
      <c r="B96" s="8" t="inlineStr">
        <is>
          <t>Cinta métrica 5m</t>
        </is>
      </c>
      <c r="C96" s="8" t="inlineStr">
        <is>
          <t>Medición</t>
        </is>
      </c>
      <c r="D96" s="7" t="n">
        <v>277</v>
      </c>
      <c r="E96" s="9" t="n">
        <v>8.9</v>
      </c>
      <c r="F96" s="9">
        <f>D96*E96</f>
        <v/>
      </c>
      <c r="G96" s="9">
        <f>D96*3.2</f>
        <v/>
      </c>
      <c r="H96" s="9">
        <f>F96-G96</f>
        <v/>
      </c>
    </row>
    <row r="97">
      <c r="A97" s="4" t="inlineStr">
        <is>
          <t>Diciembre</t>
        </is>
      </c>
      <c r="B97" s="5" t="inlineStr">
        <is>
          <t>Taladro percutor 650W</t>
        </is>
      </c>
      <c r="C97" s="5" t="inlineStr">
        <is>
          <t>Eléctricos</t>
        </is>
      </c>
      <c r="D97" s="4" t="n">
        <v>57</v>
      </c>
      <c r="E97" s="6" t="n">
        <v>89</v>
      </c>
      <c r="F97" s="6">
        <f>D97*E97</f>
        <v/>
      </c>
      <c r="G97" s="6">
        <f>D97*52.0</f>
        <v/>
      </c>
      <c r="H97" s="6">
        <f>F97-G97</f>
        <v/>
      </c>
    </row>
    <row r="98">
      <c r="A98" s="7" t="inlineStr">
        <is>
          <t>Diciembre</t>
        </is>
      </c>
      <c r="B98" s="8" t="inlineStr">
        <is>
          <t>Tubo PVC 110mm x 6m</t>
        </is>
      </c>
      <c r="C98" s="8" t="inlineStr">
        <is>
          <t>Plomería</t>
        </is>
      </c>
      <c r="D98" s="7" t="n">
        <v>203</v>
      </c>
      <c r="E98" s="9" t="n">
        <v>22</v>
      </c>
      <c r="F98" s="9">
        <f>D98*E98</f>
        <v/>
      </c>
      <c r="G98" s="9">
        <f>D98*11.5</f>
        <v/>
      </c>
      <c r="H98" s="9">
        <f>F98-G98</f>
        <v/>
      </c>
    </row>
    <row r="99">
      <c r="A99" s="4" t="inlineStr">
        <is>
          <t>Diciembre</t>
        </is>
      </c>
      <c r="B99" s="5" t="inlineStr">
        <is>
          <t>Lija al agua grano 120</t>
        </is>
      </c>
      <c r="C99" s="5" t="inlineStr">
        <is>
          <t>Abrasivos</t>
        </is>
      </c>
      <c r="D99" s="4" t="n">
        <v>487</v>
      </c>
      <c r="E99" s="6" t="n">
        <v>1.8</v>
      </c>
      <c r="F99" s="6">
        <f>D99*E99</f>
        <v/>
      </c>
      <c r="G99" s="6">
        <f>D99*0.6</f>
        <v/>
      </c>
      <c r="H99" s="6">
        <f>F99-G99</f>
        <v/>
      </c>
    </row>
    <row r="100">
      <c r="A100" s="7" t="inlineStr">
        <is>
          <t>Diciembre</t>
        </is>
      </c>
      <c r="B100" s="8" t="inlineStr">
        <is>
          <t>Cerradura doble paleta</t>
        </is>
      </c>
      <c r="C100" s="8" t="inlineStr">
        <is>
          <t>Seguridad</t>
        </is>
      </c>
      <c r="D100" s="7" t="n">
        <v>108</v>
      </c>
      <c r="E100" s="9" t="n">
        <v>35</v>
      </c>
      <c r="F100" s="9">
        <f>D100*E100</f>
        <v/>
      </c>
      <c r="G100" s="9">
        <f>D100*17.0</f>
        <v/>
      </c>
      <c r="H100" s="9">
        <f>F100-G100</f>
        <v/>
      </c>
    </row>
    <row r="101" ht="20" customHeight="1">
      <c r="A101" s="10" t="inlineStr"/>
      <c r="B101" s="10" t="inlineStr">
        <is>
          <t>TOTAL GENERAL</t>
        </is>
      </c>
      <c r="C101" s="10" t="inlineStr"/>
      <c r="D101" s="10">
        <f>SUM(D5:D100)</f>
        <v/>
      </c>
      <c r="E101" s="10" t="inlineStr"/>
      <c r="F101" s="11">
        <f>SUM(F5:F100)</f>
        <v/>
      </c>
      <c r="G101" s="11">
        <f>SUM(G5:G100)</f>
        <v/>
      </c>
      <c r="H101" s="11">
        <f>SUM(H5:H100)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</cols>
  <sheetData>
    <row r="1" ht="26" customHeight="1">
      <c r="A1" s="12" t="inlineStr">
        <is>
          <t>Resumen de ingresos y ganancias por mes</t>
        </is>
      </c>
    </row>
    <row r="3">
      <c r="A3" s="3" t="inlineStr">
        <is>
          <t>Mes</t>
        </is>
      </c>
      <c r="B3" s="3" t="inlineStr">
        <is>
          <t>Ingresos ($)</t>
        </is>
      </c>
      <c r="C3" s="3" t="inlineStr">
        <is>
          <t>Costos ($)</t>
        </is>
      </c>
      <c r="D3" s="3" t="inlineStr">
        <is>
          <t>Ganancia ($)</t>
        </is>
      </c>
    </row>
    <row r="4">
      <c r="A4" s="13" t="inlineStr">
        <is>
          <t>Enero</t>
        </is>
      </c>
      <c r="B4" s="14">
        <f>SUMIF(Ventas!A:A,A4,Ventas!F:F)</f>
        <v/>
      </c>
      <c r="C4" s="14">
        <f>SUMIF(Ventas!A:A,A4,Ventas!G:G)</f>
        <v/>
      </c>
      <c r="D4" s="14">
        <f>B4-C4</f>
        <v/>
      </c>
    </row>
    <row r="5">
      <c r="A5" s="15" t="inlineStr">
        <is>
          <t>Febrero</t>
        </is>
      </c>
      <c r="B5" s="16">
        <f>SUMIF(Ventas!A:A,A5,Ventas!F:F)</f>
        <v/>
      </c>
      <c r="C5" s="16">
        <f>SUMIF(Ventas!A:A,A5,Ventas!G:G)</f>
        <v/>
      </c>
      <c r="D5" s="16">
        <f>B5-C5</f>
        <v/>
      </c>
    </row>
    <row r="6">
      <c r="A6" s="13" t="inlineStr">
        <is>
          <t>Marzo</t>
        </is>
      </c>
      <c r="B6" s="14">
        <f>SUMIF(Ventas!A:A,A6,Ventas!F:F)</f>
        <v/>
      </c>
      <c r="C6" s="14">
        <f>SUMIF(Ventas!A:A,A6,Ventas!G:G)</f>
        <v/>
      </c>
      <c r="D6" s="14">
        <f>B6-C6</f>
        <v/>
      </c>
    </row>
    <row r="7">
      <c r="A7" s="15" t="inlineStr">
        <is>
          <t>Abril</t>
        </is>
      </c>
      <c r="B7" s="16">
        <f>SUMIF(Ventas!A:A,A7,Ventas!F:F)</f>
        <v/>
      </c>
      <c r="C7" s="16">
        <f>SUMIF(Ventas!A:A,A7,Ventas!G:G)</f>
        <v/>
      </c>
      <c r="D7" s="16">
        <f>B7-C7</f>
        <v/>
      </c>
    </row>
    <row r="8">
      <c r="A8" s="13" t="inlineStr">
        <is>
          <t>Mayo</t>
        </is>
      </c>
      <c r="B8" s="14">
        <f>SUMIF(Ventas!A:A,A8,Ventas!F:F)</f>
        <v/>
      </c>
      <c r="C8" s="14">
        <f>SUMIF(Ventas!A:A,A8,Ventas!G:G)</f>
        <v/>
      </c>
      <c r="D8" s="14">
        <f>B8-C8</f>
        <v/>
      </c>
    </row>
    <row r="9">
      <c r="A9" s="15" t="inlineStr">
        <is>
          <t>Junio</t>
        </is>
      </c>
      <c r="B9" s="16">
        <f>SUMIF(Ventas!A:A,A9,Ventas!F:F)</f>
        <v/>
      </c>
      <c r="C9" s="16">
        <f>SUMIF(Ventas!A:A,A9,Ventas!G:G)</f>
        <v/>
      </c>
      <c r="D9" s="16">
        <f>B9-C9</f>
        <v/>
      </c>
    </row>
    <row r="10">
      <c r="A10" s="13" t="inlineStr">
        <is>
          <t>Julio</t>
        </is>
      </c>
      <c r="B10" s="14">
        <f>SUMIF(Ventas!A:A,A10,Ventas!F:F)</f>
        <v/>
      </c>
      <c r="C10" s="14">
        <f>SUMIF(Ventas!A:A,A10,Ventas!G:G)</f>
        <v/>
      </c>
      <c r="D10" s="14">
        <f>B10-C10</f>
        <v/>
      </c>
    </row>
    <row r="11">
      <c r="A11" s="15" t="inlineStr">
        <is>
          <t>Agosto</t>
        </is>
      </c>
      <c r="B11" s="16">
        <f>SUMIF(Ventas!A:A,A11,Ventas!F:F)</f>
        <v/>
      </c>
      <c r="C11" s="16">
        <f>SUMIF(Ventas!A:A,A11,Ventas!G:G)</f>
        <v/>
      </c>
      <c r="D11" s="16">
        <f>B11-C11</f>
        <v/>
      </c>
    </row>
    <row r="12">
      <c r="A12" s="13" t="inlineStr">
        <is>
          <t>Septiembre</t>
        </is>
      </c>
      <c r="B12" s="14">
        <f>SUMIF(Ventas!A:A,A12,Ventas!F:F)</f>
        <v/>
      </c>
      <c r="C12" s="14">
        <f>SUMIF(Ventas!A:A,A12,Ventas!G:G)</f>
        <v/>
      </c>
      <c r="D12" s="14">
        <f>B12-C12</f>
        <v/>
      </c>
    </row>
    <row r="13">
      <c r="A13" s="15" t="inlineStr">
        <is>
          <t>Octubre</t>
        </is>
      </c>
      <c r="B13" s="16">
        <f>SUMIF(Ventas!A:A,A13,Ventas!F:F)</f>
        <v/>
      </c>
      <c r="C13" s="16">
        <f>SUMIF(Ventas!A:A,A13,Ventas!G:G)</f>
        <v/>
      </c>
      <c r="D13" s="16">
        <f>B13-C13</f>
        <v/>
      </c>
    </row>
    <row r="14">
      <c r="A14" s="13" t="inlineStr">
        <is>
          <t>Noviembre</t>
        </is>
      </c>
      <c r="B14" s="14">
        <f>SUMIF(Ventas!A:A,A14,Ventas!F:F)</f>
        <v/>
      </c>
      <c r="C14" s="14">
        <f>SUMIF(Ventas!A:A,A14,Ventas!G:G)</f>
        <v/>
      </c>
      <c r="D14" s="14">
        <f>B14-C14</f>
        <v/>
      </c>
    </row>
    <row r="15">
      <c r="A15" s="15" t="inlineStr">
        <is>
          <t>Diciembre</t>
        </is>
      </c>
      <c r="B15" s="16">
        <f>SUMIF(Ventas!A:A,A15,Ventas!F:F)</f>
        <v/>
      </c>
      <c r="C15" s="16">
        <f>SUMIF(Ventas!A:A,A15,Ventas!G:G)</f>
        <v/>
      </c>
      <c r="D15" s="16">
        <f>B15-C15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2026-04-06T23:02:22Z</dcterms:created>
  <dcterms:modified xmlns:dcterms="http://purl.org/dc/terms/" xmlns:xsi="http://www.w3.org/2001/XMLSchema-instance" xsi:type="dcterms:W3CDTF">2026-04-06T23:02:23Z</dcterms:modified>
</cp:coreProperties>
</file>